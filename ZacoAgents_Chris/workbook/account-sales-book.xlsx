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ates" sheetId="2" state="visible" r:id="rId2"/>
    <sheet name="Sheet1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Zaco account sales 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DN</t>
        </is>
      </c>
      <c r="B1" t="inlineStr">
        <is>
          <t>Market Agent</t>
        </is>
      </c>
      <c r="C1" t="inlineStr">
        <is>
          <t>Buyer note</t>
        </is>
      </c>
      <c r="D1" t="inlineStr">
        <is>
          <t>Completed</t>
        </is>
      </c>
      <c r="E1" t="inlineStr">
        <is>
          <t>Date</t>
        </is>
      </c>
      <c r="F1" t="inlineStr">
        <is>
          <t>STM No</t>
        </is>
      </c>
      <c r="G1" t="inlineStr">
        <is>
          <t>Description</t>
        </is>
      </c>
      <c r="H1" t="inlineStr">
        <is>
          <t>Qty Received</t>
        </is>
      </c>
      <c r="I1" t="inlineStr">
        <is>
          <t>Opening Stock</t>
        </is>
      </c>
      <c r="J1" t="inlineStr">
        <is>
          <t>Frui Price/crt</t>
        </is>
      </c>
      <c r="K1" t="inlineStr">
        <is>
          <t>Cartons Sold</t>
        </is>
      </c>
      <c r="L1" t="inlineStr">
        <is>
          <t>Baby Stock</t>
        </is>
      </c>
      <c r="M1" t="inlineStr">
        <is>
          <t>Price</t>
        </is>
      </c>
      <c r="N1" t="inlineStr">
        <is>
          <t>Gross Total</t>
        </is>
      </c>
      <c r="O1" t="inlineStr">
        <is>
          <t>Nett Total</t>
        </is>
      </c>
      <c r="P1" t="inlineStr">
        <is>
          <t>Nett Price/crt</t>
        </is>
      </c>
      <c r="Q1" t="inlineStr">
        <is>
          <t>Z R/crt</t>
        </is>
      </c>
      <c r="R1" t="inlineStr">
        <is>
          <t>Z Total</t>
        </is>
      </c>
      <c r="S1" t="inlineStr">
        <is>
          <t>% Markup</t>
        </is>
      </c>
      <c r="T1" t="inlineStr">
        <is>
          <t>Frui Curr Sales Value</t>
        </is>
      </c>
      <c r="U1" t="inlineStr">
        <is>
          <t>Status</t>
        </is>
      </c>
      <c r="V1" t="inlineStr">
        <is>
          <t>Packhouse</t>
        </is>
      </c>
      <c r="W1" t="inlineStr">
        <is>
          <t>NOTES</t>
        </is>
      </c>
    </row>
    <row r="2">
      <c r="A2" t="n">
        <v>14690</v>
      </c>
      <c r="B2" t="inlineStr">
        <is>
          <t>Farmers Trust</t>
        </is>
      </c>
      <c r="D2" t="inlineStr">
        <is>
          <t>Incomplete</t>
        </is>
      </c>
      <c r="E2" s="1" t="n">
        <v>46160</v>
      </c>
      <c r="F2" t="n">
        <v>381900</v>
      </c>
      <c r="G2" t="inlineStr">
        <is>
          <t>Imp Cherries 5kg</t>
        </is>
      </c>
      <c r="H2" t="n">
        <v>20</v>
      </c>
      <c r="I2" t="n">
        <v>20</v>
      </c>
      <c r="J2">
        <f>IFERROR(P2*70%,"-")</f>
        <v/>
      </c>
      <c r="K2" t="n">
        <v>18</v>
      </c>
      <c r="L2">
        <f>I2-K2</f>
        <v/>
      </c>
      <c r="M2" s="4" t="n">
        <v>180</v>
      </c>
      <c r="N2">
        <f>SUM(K2*M2)</f>
        <v/>
      </c>
      <c r="O2" s="3" t="n">
        <v>2754</v>
      </c>
      <c r="P2">
        <f>IFERROR(O2/K2,"-")</f>
        <v/>
      </c>
      <c r="Q2">
        <f>IFERROR(P2-J2,"-")</f>
        <v/>
      </c>
      <c r="R2">
        <f>O2-T2</f>
        <v/>
      </c>
      <c r="S2">
        <f>IFERROR(Q2/P2,"-")</f>
        <v/>
      </c>
      <c r="T2">
        <f>J2*K2</f>
        <v/>
      </c>
      <c r="U2" t="inlineStr">
        <is>
          <t>20.05</t>
        </is>
      </c>
      <c r="W2" t="inlineStr">
        <is>
          <t>FT Received 18</t>
        </is>
      </c>
    </row>
    <row r="3">
      <c r="A3" t="n">
        <v>14691</v>
      </c>
      <c r="B3" t="inlineStr">
        <is>
          <t>Farmers Trust</t>
        </is>
      </c>
      <c r="D3" t="inlineStr">
        <is>
          <t>Incomplete</t>
        </is>
      </c>
      <c r="E3" s="1" t="n">
        <v>46161</v>
      </c>
      <c r="F3" t="n">
        <v>0</v>
      </c>
      <c r="G3" t="inlineStr">
        <is>
          <t>IMP Nect</t>
        </is>
      </c>
      <c r="H3" t="n">
        <v>60</v>
      </c>
      <c r="I3" t="n">
        <v>60</v>
      </c>
      <c r="J3">
        <f>IFERROR(P3*70%,"-")</f>
        <v/>
      </c>
      <c r="K3" t="n">
        <v>55</v>
      </c>
      <c r="L3">
        <f>I3-K3</f>
        <v/>
      </c>
      <c r="M3" s="4" t="n">
        <v>48</v>
      </c>
      <c r="N3">
        <f>SUM(K3*M3)</f>
        <v/>
      </c>
      <c r="O3" s="3" t="n">
        <v>2244</v>
      </c>
      <c r="P3">
        <f>IFERROR(O3/K3,"-")</f>
        <v/>
      </c>
      <c r="Q3">
        <f>IFERROR(P3-J3,"-")</f>
        <v/>
      </c>
      <c r="R3">
        <f>O3-T3</f>
        <v/>
      </c>
      <c r="S3">
        <f>IFERROR(Q3/P3,"-")</f>
        <v/>
      </c>
      <c r="T3">
        <f>J3*K3</f>
        <v/>
      </c>
      <c r="U3" t="inlineStr">
        <is>
          <t>21.05</t>
        </is>
      </c>
    </row>
    <row r="4">
      <c r="A4" t="n">
        <v>14692</v>
      </c>
      <c r="D4" t="inlineStr">
        <is>
          <t>Incomplete</t>
        </is>
      </c>
      <c r="E4" s="1" t="n">
        <v>46162</v>
      </c>
      <c r="F4" t="n">
        <v>381950</v>
      </c>
      <c r="G4" t="inlineStr">
        <is>
          <t>Imp Pink Grapes</t>
        </is>
      </c>
      <c r="H4" t="n">
        <v>90</v>
      </c>
      <c r="I4" t="n">
        <v>90</v>
      </c>
      <c r="J4">
        <f>IFERROR(P4*70%,"-")</f>
        <v/>
      </c>
      <c r="K4" t="n">
        <v>90</v>
      </c>
      <c r="L4">
        <f>I4-K4</f>
        <v/>
      </c>
      <c r="M4" s="4" t="n">
        <v>75</v>
      </c>
      <c r="N4">
        <f>SUM(K4*M4)</f>
        <v/>
      </c>
      <c r="O4" s="3" t="n">
        <v>5737.5</v>
      </c>
      <c r="P4">
        <f>IFERROR(O4/K4,"-")</f>
        <v/>
      </c>
      <c r="Q4">
        <f>IFERROR(P4-J4,"-")</f>
        <v/>
      </c>
      <c r="R4">
        <f>O4-T4</f>
        <v/>
      </c>
      <c r="S4">
        <f>IFERROR(Q4/P4,"-")</f>
        <v/>
      </c>
      <c r="T4">
        <f>J4*K4</f>
        <v/>
      </c>
      <c r="U4" t="inlineStr">
        <is>
          <t>22.05</t>
        </is>
      </c>
      <c r="W4" t="inlineStr">
        <is>
          <t>FT HET NIE INGENEEM NIE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Zaco Agents</dc:creator>
  <dcterms:created xsi:type="dcterms:W3CDTF">2026-09-01T19:15:13Z</dcterms:created>
  <dcterms:modified xsi:type="dcterms:W3CDTF">2026-09-01T19:26:08Z</dcterms:modified>
  <cp:lastModifiedBy>Zaco Agents</cp:lastModifiedBy>
</cp:coreProperties>
</file>