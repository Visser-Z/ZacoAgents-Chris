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ates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Zaco account sales 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</t>
        </is>
      </c>
      <c r="B1" t="inlineStr">
        <is>
          <t>Market Agent</t>
        </is>
      </c>
      <c r="C1" t="inlineStr">
        <is>
          <t>Buyer note</t>
        </is>
      </c>
      <c r="D1" t="inlineStr">
        <is>
          <t>Completed</t>
        </is>
      </c>
      <c r="E1" t="inlineStr">
        <is>
          <t>Date</t>
        </is>
      </c>
      <c r="F1" t="inlineStr">
        <is>
          <t>STM No</t>
        </is>
      </c>
      <c r="G1" t="inlineStr">
        <is>
          <t>Description</t>
        </is>
      </c>
      <c r="H1" t="inlineStr">
        <is>
          <t>Qty Received</t>
        </is>
      </c>
      <c r="I1" t="inlineStr">
        <is>
          <t>Opening Stock</t>
        </is>
      </c>
      <c r="J1" t="inlineStr">
        <is>
          <t>Frui Price/crt</t>
        </is>
      </c>
      <c r="K1" t="inlineStr">
        <is>
          <t>Cartons Sold</t>
        </is>
      </c>
      <c r="L1" t="inlineStr">
        <is>
          <t>Baby Stock</t>
        </is>
      </c>
      <c r="M1" t="inlineStr">
        <is>
          <t>Price</t>
        </is>
      </c>
      <c r="N1" t="inlineStr">
        <is>
          <t>Gross Total</t>
        </is>
      </c>
      <c r="O1" t="inlineStr">
        <is>
          <t>Nett Total</t>
        </is>
      </c>
      <c r="P1" t="inlineStr">
        <is>
          <t>Nett Price/crt</t>
        </is>
      </c>
      <c r="Q1" t="inlineStr">
        <is>
          <t>Z R/crt</t>
        </is>
      </c>
      <c r="R1" t="inlineStr">
        <is>
          <t>Z Total</t>
        </is>
      </c>
      <c r="S1" t="inlineStr">
        <is>
          <t>% Markup</t>
        </is>
      </c>
      <c r="T1" t="inlineStr">
        <is>
          <t>Frui Curr Sales Value</t>
        </is>
      </c>
      <c r="U1" t="inlineStr">
        <is>
          <t>Status</t>
        </is>
      </c>
      <c r="V1" t="inlineStr">
        <is>
          <t>Packhouse</t>
        </is>
      </c>
      <c r="W1" t="inlineStr">
        <is>
          <t>NOTES</t>
        </is>
      </c>
    </row>
    <row r="2">
      <c r="A2" t="n">
        <v>14690</v>
      </c>
      <c r="B2" t="inlineStr">
        <is>
          <t>Farmers Trust</t>
        </is>
      </c>
      <c r="D2" t="inlineStr">
        <is>
          <t>Incomplete</t>
        </is>
      </c>
      <c r="E2" s="1" t="n">
        <v>46160</v>
      </c>
      <c r="F2" t="n">
        <v>381900</v>
      </c>
      <c r="G2" t="inlineStr">
        <is>
          <t>Imp Cherries 5kg</t>
        </is>
      </c>
      <c r="H2" t="n">
        <v>20</v>
      </c>
      <c r="I2" t="n">
        <v>20</v>
      </c>
      <c r="J2">
        <f>IFERROR(P2*70%,"-")</f>
        <v/>
      </c>
      <c r="K2" t="n">
        <v>18</v>
      </c>
      <c r="L2">
        <f>I2-K2</f>
        <v/>
      </c>
      <c r="M2" s="4" t="n">
        <v>180</v>
      </c>
      <c r="N2">
        <f>SUM(K2*M2)</f>
        <v/>
      </c>
      <c r="O2" s="3" t="n">
        <v>2754</v>
      </c>
      <c r="P2">
        <f>IFERROR(O2/K2,"-")</f>
        <v/>
      </c>
      <c r="Q2">
        <f>IFERROR(P2-J2,"-")</f>
        <v/>
      </c>
      <c r="R2">
        <f>O2-T2</f>
        <v/>
      </c>
      <c r="S2">
        <f>IFERROR(Q2/P2,"-")</f>
        <v/>
      </c>
      <c r="T2">
        <f>J2*K2</f>
        <v/>
      </c>
      <c r="U2" t="inlineStr">
        <is>
          <t>20.05</t>
        </is>
      </c>
      <c r="W2" t="inlineStr">
        <is>
          <t>FT Received 18</t>
        </is>
      </c>
    </row>
    <row r="3">
      <c r="A3" t="n">
        <v>14691</v>
      </c>
      <c r="B3" t="inlineStr">
        <is>
          <t>Farmers Trust</t>
        </is>
      </c>
      <c r="D3" t="inlineStr">
        <is>
          <t>Incomplete</t>
        </is>
      </c>
      <c r="E3" s="1" t="n">
        <v>46161</v>
      </c>
      <c r="F3" t="n">
        <v>0</v>
      </c>
      <c r="G3" t="inlineStr">
        <is>
          <t>IMP Nect</t>
        </is>
      </c>
      <c r="H3" t="n">
        <v>60</v>
      </c>
      <c r="I3" t="n">
        <v>60</v>
      </c>
      <c r="J3">
        <f>IFERROR(P3*70%,"-")</f>
        <v/>
      </c>
      <c r="K3" t="n">
        <v>55</v>
      </c>
      <c r="L3">
        <f>I3-K3</f>
        <v/>
      </c>
      <c r="M3" s="4" t="n">
        <v>48</v>
      </c>
      <c r="N3">
        <f>SUM(K3*M3)</f>
        <v/>
      </c>
      <c r="O3" s="3" t="n">
        <v>2244</v>
      </c>
      <c r="P3">
        <f>IFERROR(O3/K3,"-")</f>
        <v/>
      </c>
      <c r="Q3">
        <f>IFERROR(P3-J3,"-")</f>
        <v/>
      </c>
      <c r="R3">
        <f>O3-T3</f>
        <v/>
      </c>
      <c r="S3">
        <f>IFERROR(Q3/P3,"-")</f>
        <v/>
      </c>
      <c r="T3">
        <f>J3*K3</f>
        <v/>
      </c>
      <c r="U3" t="inlineStr">
        <is>
          <t>21.05</t>
        </is>
      </c>
    </row>
    <row r="4">
      <c r="A4" t="n">
        <v>14692</v>
      </c>
      <c r="D4" t="inlineStr">
        <is>
          <t>Incomplete</t>
        </is>
      </c>
      <c r="E4" s="1" t="n">
        <v>46162</v>
      </c>
      <c r="F4" t="n">
        <v>381950</v>
      </c>
      <c r="G4" t="inlineStr">
        <is>
          <t>Imp Pink Grapes</t>
        </is>
      </c>
      <c r="H4" t="n">
        <v>90</v>
      </c>
      <c r="I4" t="n">
        <v>90</v>
      </c>
      <c r="J4">
        <f>IFERROR(P4*70%,"-")</f>
        <v/>
      </c>
      <c r="K4" t="n">
        <v>90</v>
      </c>
      <c r="L4">
        <f>I4-K4</f>
        <v/>
      </c>
      <c r="M4" s="4" t="n">
        <v>75</v>
      </c>
      <c r="N4">
        <f>SUM(K4*M4)</f>
        <v/>
      </c>
      <c r="O4" s="3" t="n">
        <v>5737.5</v>
      </c>
      <c r="P4">
        <f>IFERROR(O4/K4,"-")</f>
        <v/>
      </c>
      <c r="Q4">
        <f>IFERROR(P4-J4,"-")</f>
        <v/>
      </c>
      <c r="R4">
        <f>O4-T4</f>
        <v/>
      </c>
      <c r="S4">
        <f>IFERROR(Q4/P4,"-")</f>
        <v/>
      </c>
      <c r="T4">
        <f>J4*K4</f>
        <v/>
      </c>
      <c r="U4" t="inlineStr">
        <is>
          <t>22.05</t>
        </is>
      </c>
      <c r="W4" t="inlineStr">
        <is>
          <t>FT HET NIE INGENEEM NIE</t>
        </is>
      </c>
    </row>
    <row r="5">
      <c r="A5" t="n">
        <v>14721</v>
      </c>
      <c r="B5" t="inlineStr">
        <is>
          <t>Farmers Trust (Pre)</t>
        </is>
      </c>
      <c r="D5" t="inlineStr">
        <is>
          <t>Incomplete</t>
        </is>
      </c>
      <c r="E5" s="1" t="n">
        <v>46168</v>
      </c>
      <c r="F5" t="n">
        <v>382410</v>
      </c>
      <c r="G5" t="inlineStr">
        <is>
          <t>IMP Nect</t>
        </is>
      </c>
      <c r="H5" t="n">
        <v>71</v>
      </c>
      <c r="I5" t="n">
        <v>71</v>
      </c>
      <c r="J5">
        <f>IFERROR(P5*70%,"-")</f>
        <v/>
      </c>
      <c r="K5" t="n">
        <v>40</v>
      </c>
      <c r="L5">
        <f>I5-K5</f>
        <v/>
      </c>
      <c r="M5" s="4" t="n">
        <v>50</v>
      </c>
      <c r="N5">
        <f>SUM(K5*M5)</f>
        <v/>
      </c>
      <c r="O5" s="3" t="n">
        <v>1700</v>
      </c>
      <c r="P5">
        <f>IFERROR(O5/K5,"-")</f>
        <v/>
      </c>
      <c r="Q5">
        <f>IFERROR(P5-J5,"-")</f>
        <v/>
      </c>
      <c r="R5">
        <f>O5-T5</f>
        <v/>
      </c>
      <c r="S5">
        <f>IFERROR(Q5/P5,"-")</f>
        <v/>
      </c>
      <c r="T5">
        <f>J5*K5</f>
        <v/>
      </c>
      <c r="U5" t="inlineStr">
        <is>
          <t>29.05</t>
        </is>
      </c>
    </row>
    <row r="6">
      <c r="A6" t="n">
        <v>14721</v>
      </c>
      <c r="B6" t="inlineStr">
        <is>
          <t>Farmers Trust (Pre)</t>
        </is>
      </c>
      <c r="D6" t="inlineStr">
        <is>
          <t>Incomplete</t>
        </is>
      </c>
      <c r="E6" s="1" t="n">
        <v>46168</v>
      </c>
      <c r="F6" t="n">
        <v>382861</v>
      </c>
      <c r="G6" t="inlineStr">
        <is>
          <t>IMP Nect</t>
        </is>
      </c>
      <c r="I6" t="n">
        <v>31</v>
      </c>
      <c r="J6">
        <f>IFERROR(P6*70%,"-")</f>
        <v/>
      </c>
      <c r="K6" t="n">
        <v>25</v>
      </c>
      <c r="L6">
        <f>I6-K6</f>
        <v/>
      </c>
      <c r="M6" s="4" t="n">
        <v>60</v>
      </c>
      <c r="N6">
        <f>SUM(K6*M6)</f>
        <v/>
      </c>
      <c r="O6" s="3" t="n">
        <v>1275</v>
      </c>
      <c r="P6">
        <f>IFERROR(O6/K6,"-")</f>
        <v/>
      </c>
      <c r="Q6">
        <f>IFERROR(P6-J6,"-")</f>
        <v/>
      </c>
      <c r="R6">
        <f>O6-T6</f>
        <v/>
      </c>
      <c r="S6">
        <f>IFERROR(Q6/P6,"-")</f>
        <v/>
      </c>
      <c r="T6">
        <f>J6*K6</f>
        <v/>
      </c>
      <c r="U6" t="inlineStr">
        <is>
          <t>01.06</t>
        </is>
      </c>
    </row>
    <row r="7">
      <c r="A7" t="n">
        <v>14720</v>
      </c>
      <c r="B7" t="inlineStr">
        <is>
          <t>Farmers Trust (Pre)</t>
        </is>
      </c>
      <c r="D7" t="inlineStr">
        <is>
          <t>Incomplete</t>
        </is>
      </c>
      <c r="E7" s="1" t="n">
        <v>46169</v>
      </c>
      <c r="F7" t="n">
        <v>382405</v>
      </c>
      <c r="G7" t="inlineStr">
        <is>
          <t>Imp Cherries 5kg</t>
        </is>
      </c>
      <c r="H7" t="n">
        <v>14</v>
      </c>
      <c r="I7" t="n">
        <v>14</v>
      </c>
      <c r="J7">
        <f>IFERROR(P7*70%,"-")</f>
        <v/>
      </c>
      <c r="K7" t="n">
        <v>2</v>
      </c>
      <c r="L7">
        <f>I7-K7</f>
        <v/>
      </c>
      <c r="M7" s="4" t="n">
        <v>200</v>
      </c>
      <c r="N7">
        <f>SUM(K7*M7)</f>
        <v/>
      </c>
      <c r="O7" s="3" t="n">
        <v>340</v>
      </c>
      <c r="P7">
        <f>IFERROR(O7/K7,"-")</f>
        <v/>
      </c>
      <c r="Q7">
        <f>IFERROR(P7-J7,"-")</f>
        <v/>
      </c>
      <c r="R7">
        <f>O7-T7</f>
        <v/>
      </c>
      <c r="S7">
        <f>IFERROR(Q7/P7,"-")</f>
        <v/>
      </c>
      <c r="T7">
        <f>J7*K7</f>
        <v/>
      </c>
      <c r="U7" t="inlineStr">
        <is>
          <t>29.05</t>
        </is>
      </c>
    </row>
    <row r="8">
      <c r="A8" t="n">
        <v>14710</v>
      </c>
      <c r="B8" t="inlineStr">
        <is>
          <t>Subtropico (Jhb)</t>
        </is>
      </c>
      <c r="D8" t="inlineStr">
        <is>
          <t>Incomplete</t>
        </is>
      </c>
      <c r="E8" s="1" t="n">
        <v>46169</v>
      </c>
      <c r="F8" t="inlineStr">
        <is>
          <t>JOH*SUB*5644200/1</t>
        </is>
      </c>
      <c r="G8" t="inlineStr">
        <is>
          <t>Crimson Grapes 5kg</t>
        </is>
      </c>
      <c r="H8" t="n">
        <v>100</v>
      </c>
      <c r="I8" t="n">
        <v>100</v>
      </c>
      <c r="J8">
        <f>IFERROR(P8*70%,"-")</f>
        <v/>
      </c>
      <c r="K8" t="n">
        <v>60</v>
      </c>
      <c r="L8">
        <f>I8-K8</f>
        <v/>
      </c>
      <c r="M8" s="4" t="n">
        <v>80</v>
      </c>
      <c r="N8">
        <f>SUM(K8*M8)</f>
        <v/>
      </c>
      <c r="O8" s="3" t="n">
        <v>4080</v>
      </c>
      <c r="P8">
        <f>IFERROR(O8/K8,"-")</f>
        <v/>
      </c>
      <c r="Q8">
        <f>IFERROR(P8-J8,"-")</f>
        <v/>
      </c>
      <c r="R8">
        <f>O8-T8</f>
        <v/>
      </c>
      <c r="S8">
        <f>IFERROR(Q8/P8,"-")</f>
        <v/>
      </c>
      <c r="T8">
        <f>J8*K8</f>
        <v/>
      </c>
      <c r="U8" t="inlineStr">
        <is>
          <t>30.05</t>
        </is>
      </c>
    </row>
    <row r="9">
      <c r="A9" t="n">
        <v>14722</v>
      </c>
      <c r="B9" t="inlineStr">
        <is>
          <t>Farmers Trust (Pre)</t>
        </is>
      </c>
      <c r="D9" t="inlineStr">
        <is>
          <t>Incomplete</t>
        </is>
      </c>
      <c r="E9" s="1" t="n">
        <v>46170</v>
      </c>
      <c r="F9" t="n">
        <v>382870</v>
      </c>
      <c r="G9" t="inlineStr">
        <is>
          <t>Angelino 5kg</t>
        </is>
      </c>
      <c r="H9" t="n">
        <v>40</v>
      </c>
      <c r="I9" t="n">
        <v>40</v>
      </c>
      <c r="J9">
        <f>IFERROR(P9*70%,"-")</f>
        <v/>
      </c>
      <c r="K9" t="n">
        <v>38</v>
      </c>
      <c r="L9">
        <f>I9-K9</f>
        <v/>
      </c>
      <c r="M9" s="4" t="n">
        <v>70</v>
      </c>
      <c r="N9">
        <f>SUM(K9*M9)</f>
        <v/>
      </c>
      <c r="O9" s="3" t="n">
        <v>2261</v>
      </c>
      <c r="P9">
        <f>IFERROR(O9/K9,"-")</f>
        <v/>
      </c>
      <c r="Q9">
        <f>IFERROR(P9-J9,"-")</f>
        <v/>
      </c>
      <c r="R9">
        <f>O9-T9</f>
        <v/>
      </c>
      <c r="S9">
        <f>IFERROR(Q9/P9,"-")</f>
        <v/>
      </c>
      <c r="T9">
        <f>J9*K9</f>
        <v/>
      </c>
      <c r="U9" t="inlineStr">
        <is>
          <t>01.06</t>
        </is>
      </c>
    </row>
    <row r="10">
      <c r="A10" t="n">
        <v>14723</v>
      </c>
      <c r="B10" t="inlineStr">
        <is>
          <t>Farmers Trust (Pre)</t>
        </is>
      </c>
      <c r="D10" t="inlineStr">
        <is>
          <t>Incomplete</t>
        </is>
      </c>
      <c r="E10" s="1" t="n">
        <v>46171</v>
      </c>
      <c r="F10" t="n">
        <v>382875</v>
      </c>
      <c r="G10" t="inlineStr">
        <is>
          <t>Golden Del 12.5kg</t>
        </is>
      </c>
      <c r="H10" t="n">
        <v>30</v>
      </c>
      <c r="I10" t="n">
        <v>30</v>
      </c>
      <c r="J10">
        <f>IFERROR(P10*70%,"-")</f>
        <v/>
      </c>
      <c r="K10" t="n">
        <v>30</v>
      </c>
      <c r="L10">
        <f>I10-K10</f>
        <v/>
      </c>
      <c r="M10" s="4" t="n">
        <v>45</v>
      </c>
      <c r="N10">
        <f>SUM(K10*M10)</f>
        <v/>
      </c>
      <c r="O10" s="3" t="n">
        <v>540</v>
      </c>
      <c r="P10">
        <f>IFERROR(O10/K10,"-")</f>
        <v/>
      </c>
      <c r="Q10">
        <f>IFERROR(P10-J10,"-")</f>
        <v/>
      </c>
      <c r="R10">
        <f>O10-T10</f>
        <v/>
      </c>
      <c r="S10">
        <f>IFERROR(Q10/P10,"-")</f>
        <v/>
      </c>
      <c r="T10">
        <f>J10*K10</f>
        <v/>
      </c>
      <c r="U10" t="inlineStr">
        <is>
          <t>02.06</t>
        </is>
      </c>
    </row>
    <row r="11">
      <c r="A11" t="n">
        <v>14880</v>
      </c>
      <c r="B11" t="inlineStr">
        <is>
          <t>Subtropico (Jhb)</t>
        </is>
      </c>
      <c r="D11" t="inlineStr">
        <is>
          <t>Incomplete</t>
        </is>
      </c>
      <c r="E11" s="1" t="n">
        <v>46172</v>
      </c>
      <c r="F11" t="inlineStr">
        <is>
          <t>JOH*SUB*5644210/1</t>
        </is>
      </c>
      <c r="G11" t="inlineStr">
        <is>
          <t>Valencia 15kg</t>
        </is>
      </c>
      <c r="H11" t="n">
        <v>200</v>
      </c>
      <c r="I11" t="n">
        <v>200</v>
      </c>
      <c r="J11">
        <f>IFERROR(P11*70%,"-")</f>
        <v/>
      </c>
      <c r="K11" t="n">
        <v>50</v>
      </c>
      <c r="L11">
        <f>I11-K11</f>
        <v/>
      </c>
      <c r="M11" s="4" t="n">
        <v>30</v>
      </c>
      <c r="N11">
        <f>SUM(K11*M11)</f>
        <v/>
      </c>
      <c r="O11" s="3" t="n"/>
      <c r="P11">
        <f>IFERROR(O11/K11,"-")</f>
        <v/>
      </c>
      <c r="Q11">
        <f>IFERROR(P11-J11,"-")</f>
        <v/>
      </c>
      <c r="R11">
        <f>O11-T11</f>
        <v/>
      </c>
      <c r="S11">
        <f>IFERROR(Q11/P11,"-")</f>
        <v/>
      </c>
      <c r="T11">
        <f>J11*K11</f>
        <v/>
      </c>
    </row>
    <row r="12">
      <c r="A12" t="n">
        <v>14720</v>
      </c>
      <c r="B12" t="inlineStr">
        <is>
          <t>Farmers Trust (Pre)</t>
        </is>
      </c>
      <c r="D12" t="inlineStr">
        <is>
          <t>Incomplete</t>
        </is>
      </c>
      <c r="E12" s="1" t="n">
        <v>46169</v>
      </c>
      <c r="F12" t="n">
        <v>382860</v>
      </c>
      <c r="G12" t="inlineStr">
        <is>
          <t>Imp Cherries 5kg</t>
        </is>
      </c>
      <c r="H12" t="n">
        <v>14</v>
      </c>
      <c r="I12" t="n">
        <v>12</v>
      </c>
      <c r="J12">
        <f>IFERROR(P12*70%,"-")</f>
        <v/>
      </c>
      <c r="K12" t="n">
        <v>1</v>
      </c>
      <c r="L12">
        <f>I12-K12</f>
        <v/>
      </c>
      <c r="M12" s="4" t="n">
        <v>200</v>
      </c>
      <c r="N12">
        <f>SUM(K12*M12)</f>
        <v/>
      </c>
      <c r="O12" s="3" t="n">
        <v>170</v>
      </c>
      <c r="P12">
        <f>IFERROR(O12/K12,"-")</f>
        <v/>
      </c>
      <c r="Q12">
        <f>IFERROR(P12-J12,"-")</f>
        <v/>
      </c>
      <c r="R12">
        <f>O12-T12</f>
        <v/>
      </c>
      <c r="S12">
        <f>IFERROR(Q12/P12,"-")</f>
        <v/>
      </c>
      <c r="T12">
        <f>J12*K12</f>
        <v/>
      </c>
      <c r="U12" t="inlineStr">
        <is>
          <t>03.06</t>
        </is>
      </c>
    </row>
    <row r="13">
      <c r="A13" t="n">
        <v>14880</v>
      </c>
      <c r="B13" t="inlineStr">
        <is>
          <t>Subtropico (Jhb)</t>
        </is>
      </c>
      <c r="D13" t="inlineStr">
        <is>
          <t>Incomplete</t>
        </is>
      </c>
      <c r="E13" s="1" t="n">
        <v>46172</v>
      </c>
      <c r="F13" t="inlineStr">
        <is>
          <t>JOH*SUB*5644211/1</t>
        </is>
      </c>
      <c r="G13" t="inlineStr">
        <is>
          <t>Valencia 15kg</t>
        </is>
      </c>
      <c r="H13" t="n">
        <v>200</v>
      </c>
      <c r="I13" t="n">
        <v>150</v>
      </c>
      <c r="J13">
        <f>IFERROR(P13*70%,"-")</f>
        <v/>
      </c>
      <c r="K13" t="n">
        <v>30</v>
      </c>
      <c r="L13">
        <f>I13-K13</f>
        <v/>
      </c>
      <c r="M13" s="4" t="n">
        <v>30</v>
      </c>
      <c r="N13">
        <f>SUM(K13*M13)</f>
        <v/>
      </c>
      <c r="O13" s="3" t="n">
        <v>765</v>
      </c>
      <c r="P13">
        <f>IFERROR(O13/K13,"-")</f>
        <v/>
      </c>
      <c r="Q13">
        <f>IFERROR(P13-J13,"-")</f>
        <v/>
      </c>
      <c r="R13">
        <f>O13-T13</f>
        <v/>
      </c>
      <c r="S13">
        <f>IFERROR(Q13/P13,"-")</f>
        <v/>
      </c>
      <c r="T13">
        <f>J13*K13</f>
        <v/>
      </c>
      <c r="U13" t="inlineStr">
        <is>
          <t>08.06</t>
        </is>
      </c>
    </row>
    <row r="14">
      <c r="A14" t="n">
        <v>14885</v>
      </c>
      <c r="B14" t="inlineStr">
        <is>
          <t>Farmers Trust (Pre)</t>
        </is>
      </c>
      <c r="D14" t="inlineStr">
        <is>
          <t>Incomplete</t>
        </is>
      </c>
      <c r="E14" s="1" t="n">
        <v>46174</v>
      </c>
      <c r="F14" t="n">
        <v>382880</v>
      </c>
      <c r="G14" t="inlineStr">
        <is>
          <t>Packhams 12.5kg</t>
        </is>
      </c>
      <c r="H14" t="n">
        <v>2</v>
      </c>
      <c r="I14" t="n">
        <v>2</v>
      </c>
      <c r="J14">
        <f>IFERROR(P14*70%,"-")</f>
        <v/>
      </c>
      <c r="K14" t="n">
        <v>2</v>
      </c>
      <c r="L14">
        <f>I14-K14</f>
        <v/>
      </c>
      <c r="M14" s="4" t="n">
        <v>50</v>
      </c>
      <c r="N14">
        <f>SUM(K14*M14)</f>
        <v/>
      </c>
      <c r="O14" s="3" t="n">
        <v>83.34</v>
      </c>
      <c r="P14">
        <f>IFERROR(O14/K14,"-")</f>
        <v/>
      </c>
      <c r="Q14">
        <f>IFERROR(P14-J14,"-")</f>
        <v/>
      </c>
      <c r="R14">
        <f>O14-T14</f>
        <v/>
      </c>
      <c r="S14">
        <f>IFERROR(Q14/P14,"-")</f>
        <v/>
      </c>
      <c r="T14">
        <f>J14*K14</f>
        <v/>
      </c>
      <c r="U14" t="inlineStr">
        <is>
          <t>05.06</t>
        </is>
      </c>
    </row>
    <row r="15">
      <c r="A15" t="n">
        <v>14886</v>
      </c>
      <c r="B15" t="inlineStr">
        <is>
          <t>Farmers Trust (Pre)</t>
        </is>
      </c>
      <c r="D15" t="inlineStr">
        <is>
          <t>Incomplete</t>
        </is>
      </c>
      <c r="E15" s="1" t="n">
        <v>46174</v>
      </c>
      <c r="F15" t="n">
        <v>382880</v>
      </c>
      <c r="G15" t="inlineStr">
        <is>
          <t>Peaches 5kg</t>
        </is>
      </c>
      <c r="H15" t="n">
        <v>2</v>
      </c>
      <c r="I15" t="n">
        <v>2</v>
      </c>
      <c r="J15">
        <f>IFERROR(P15*70%,"-")</f>
        <v/>
      </c>
      <c r="K15" t="n">
        <v>2</v>
      </c>
      <c r="L15">
        <f>I15-K15</f>
        <v/>
      </c>
      <c r="M15" s="4" t="n">
        <v>50</v>
      </c>
      <c r="N15">
        <f>SUM(K15*M15)</f>
        <v/>
      </c>
      <c r="O15" s="3" t="n">
        <v>83.33</v>
      </c>
      <c r="P15">
        <f>IFERROR(O15/K15,"-")</f>
        <v/>
      </c>
      <c r="Q15">
        <f>IFERROR(P15-J15,"-")</f>
        <v/>
      </c>
      <c r="R15">
        <f>O15-T15</f>
        <v/>
      </c>
      <c r="S15">
        <f>IFERROR(Q15/P15,"-")</f>
        <v/>
      </c>
      <c r="T15">
        <f>J15*K15</f>
        <v/>
      </c>
      <c r="U15" t="inlineStr">
        <is>
          <t>05.06</t>
        </is>
      </c>
    </row>
    <row r="16">
      <c r="A16" t="n">
        <v>14887</v>
      </c>
      <c r="B16" t="inlineStr">
        <is>
          <t>Farmers Trust (Pre)</t>
        </is>
      </c>
      <c r="D16" t="inlineStr">
        <is>
          <t>Incomplete</t>
        </is>
      </c>
      <c r="E16" s="1" t="n">
        <v>46174</v>
      </c>
      <c r="F16" t="n">
        <v>382880</v>
      </c>
      <c r="G16" t="inlineStr">
        <is>
          <t>Strawberries 250g</t>
        </is>
      </c>
      <c r="H16" t="n">
        <v>5</v>
      </c>
      <c r="I16" t="n">
        <v>5</v>
      </c>
      <c r="J16">
        <f>IFERROR(P16*70%,"-")</f>
        <v/>
      </c>
      <c r="K16" t="n">
        <v>5</v>
      </c>
      <c r="L16">
        <f>I16-K16</f>
        <v/>
      </c>
      <c r="M16" s="4" t="n">
        <v>20</v>
      </c>
      <c r="N16">
        <f>SUM(K16*M16)</f>
        <v/>
      </c>
      <c r="O16" s="3" t="n">
        <v>83.33</v>
      </c>
      <c r="P16">
        <f>IFERROR(O16/K16,"-")</f>
        <v/>
      </c>
      <c r="Q16">
        <f>IFERROR(P16-J16,"-")</f>
        <v/>
      </c>
      <c r="R16">
        <f>O16-T16</f>
        <v/>
      </c>
      <c r="S16">
        <f>IFERROR(Q16/P16,"-")</f>
        <v/>
      </c>
      <c r="T16">
        <f>J16*K16</f>
        <v/>
      </c>
      <c r="U16" t="inlineStr">
        <is>
          <t>05.06</t>
        </is>
      </c>
    </row>
    <row r="17">
      <c r="A17" t="n">
        <v>14891</v>
      </c>
      <c r="B17" t="inlineStr">
        <is>
          <t>Farmers Trust (Pre)</t>
        </is>
      </c>
      <c r="D17" t="inlineStr">
        <is>
          <t>Incomplete</t>
        </is>
      </c>
      <c r="E17" s="1" t="n">
        <v>46175</v>
      </c>
      <c r="F17" t="n">
        <v>382885</v>
      </c>
      <c r="G17" t="inlineStr">
        <is>
          <t>Star Ruby 15kg</t>
        </is>
      </c>
      <c r="H17" t="n">
        <v>60</v>
      </c>
      <c r="I17" t="n">
        <v>60</v>
      </c>
      <c r="J17">
        <f>IFERROR(P17*70%,"-")</f>
        <v/>
      </c>
      <c r="K17" t="n">
        <v>40</v>
      </c>
      <c r="L17">
        <f>I17-K17</f>
        <v/>
      </c>
      <c r="M17" s="4" t="n">
        <v>90</v>
      </c>
      <c r="N17">
        <f>SUM(K17*M17)</f>
        <v/>
      </c>
      <c r="O17" s="3" t="n">
        <v>3060</v>
      </c>
      <c r="P17">
        <f>IFERROR(O17/K17,"-")</f>
        <v/>
      </c>
      <c r="Q17">
        <f>IFERROR(P17-J17,"-")</f>
        <v/>
      </c>
      <c r="R17">
        <f>O17-T17</f>
        <v/>
      </c>
      <c r="S17">
        <f>IFERROR(Q17/P17,"-")</f>
        <v/>
      </c>
      <c r="T17">
        <f>J17*K17</f>
        <v/>
      </c>
      <c r="U17" t="inlineStr">
        <is>
          <t>06.06</t>
        </is>
      </c>
    </row>
    <row r="18">
      <c r="A18" t="n">
        <v>14892</v>
      </c>
      <c r="B18" t="inlineStr">
        <is>
          <t>Subtropico (Jhb)</t>
        </is>
      </c>
      <c r="D18" t="inlineStr">
        <is>
          <t>Incomplete</t>
        </is>
      </c>
      <c r="E18" s="1" t="n">
        <v>46175</v>
      </c>
      <c r="F18" t="n">
        <v>382886</v>
      </c>
      <c r="G18" t="inlineStr">
        <is>
          <t>Hass Avo 4kg</t>
        </is>
      </c>
      <c r="H18" t="n">
        <v>25</v>
      </c>
      <c r="I18" t="n">
        <v>25</v>
      </c>
      <c r="J18">
        <f>IFERROR(P18*70%,"-")</f>
        <v/>
      </c>
      <c r="K18" t="n">
        <v>25</v>
      </c>
      <c r="L18">
        <f>I18-K18</f>
        <v/>
      </c>
      <c r="M18" s="4" t="n">
        <v>120</v>
      </c>
      <c r="N18">
        <f>SUM(K18*M18)</f>
        <v/>
      </c>
      <c r="O18" s="3" t="n">
        <v>2550</v>
      </c>
      <c r="P18">
        <f>IFERROR(O18/K18,"-")</f>
        <v/>
      </c>
      <c r="Q18">
        <f>IFERROR(P18-J18,"-")</f>
        <v/>
      </c>
      <c r="R18">
        <f>O18-T18</f>
        <v/>
      </c>
      <c r="S18">
        <f>IFERROR(Q18/P18,"-")</f>
        <v/>
      </c>
      <c r="T18">
        <f>J18*K18</f>
        <v/>
      </c>
      <c r="U18" t="inlineStr">
        <is>
          <t>06.06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Zaco Agents</dc:creator>
  <dcterms:created xsi:type="dcterms:W3CDTF">2026-09-01T19:15:13Z</dcterms:created>
  <dcterms:modified xsi:type="dcterms:W3CDTF">2026-09-05T12:00:06Z</dcterms:modified>
  <cp:lastModifiedBy>Zaco Agents</cp:lastModifiedBy>
</cp:coreProperties>
</file>